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xr:revisionPtr revIDLastSave="0" documentId="13_ncr:1_{ED9C559B-ED59-4024-86B1-F49AE52656C6}" xr6:coauthVersionLast="47" xr6:coauthVersionMax="47" xr10:uidLastSave="{00000000-0000-0000-0000-000000000000}"/>
  <bookViews>
    <workbookView xWindow="0" yWindow="0" windowWidth="21600" windowHeight="13995" xr2:uid="{D3862B02-45E4-4CCA-9B8B-C20E17C3F40E}"/>
  </bookViews>
  <sheets>
    <sheet name="Eureos Corporate Finance" sheetId="1" r:id="rId1"/>
    <sheet name="Eureos Steuer &amp; Rechtsanwalt" sheetId="2" r:id="rId2"/>
    <sheet name="Eureos Wirtschaftsprüf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<sst xmlns="http://schemas.openxmlformats.org/spreadsheetml/2006/main" count="75" uniqueCount="55">
  <si>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Aktiva</t>
  </si>
  <si>
    <t>A. Anlagevermögen</t>
  </si>
  <si>
    <t>B. Umlaufvermögen</t>
  </si>
  <si>
    <t>C. Rechnungsabgrenzungsposten</t>
  </si>
  <si>
    <t>I. Immaterielle Vermögensgegenstände</t>
  </si>
  <si>
    <t>II. Sachanlagen</t>
  </si>
  <si>
    <t>I. Vorräte</t>
  </si>
  <si>
    <t>II. Forderungen und sonstige Vermögensgegenstände</t>
  </si>
  <si>
    <t>III. Kassenbestand, Bundesbankguthaben, Guthaben bei Kreditinstituten und Schecks</t>
  </si>
  <si>
    <t>Bilanz</t>
  </si>
  <si>
    <t>A. Eigenkapital</t>
  </si>
  <si>
    <t>I. gezeichnetes Kapital</t>
  </si>
  <si>
    <t>II. Gewinnvortrag</t>
  </si>
  <si>
    <t>III. Jahresüberschuss</t>
  </si>
  <si>
    <t>B. Rückstellungen</t>
  </si>
  <si>
    <t>C. Verbindlichkeiten</t>
  </si>
  <si>
    <t>davon mit einer Restlaufzeit von mehr als einem Jahr</t>
  </si>
  <si>
    <t>davon mit Restlaufzeit bis 1 Jahr</t>
  </si>
  <si>
    <t>Balance Check</t>
  </si>
  <si>
    <t>Die Verbindlichkeiten gegenüber Gesellschaftern in Höhe von EUR 77.759,11.</t>
  </si>
  <si>
    <t>10 Arbeitsnehmer ca</t>
  </si>
  <si>
    <t>7 Arbeitnehmer ca</t>
  </si>
  <si>
    <t>6 Arbeitnehmer ca</t>
  </si>
  <si>
    <t>Gewinn</t>
  </si>
  <si>
    <t>III. Finanzanlagen</t>
  </si>
  <si>
    <t>III. Wertpapiere</t>
  </si>
  <si>
    <t>IV. Kassenbestand, Bundesbankguthaben, Guthaben bei Kreditinstituten und Schecks</t>
  </si>
  <si>
    <t>III. Gewinnvortrag</t>
  </si>
  <si>
    <t>IV. Jahresüberschuss</t>
  </si>
  <si>
    <t>II. Kapitalrücklage</t>
  </si>
  <si>
    <t>D. Passive latente Steuern</t>
  </si>
  <si>
    <t>Assets</t>
  </si>
  <si>
    <t>Cash &amp; Cash Equivalents</t>
  </si>
  <si>
    <t>Current Assets</t>
  </si>
  <si>
    <t>Inventories</t>
  </si>
  <si>
    <t>Accounts Recievable and Other Recievables</t>
  </si>
  <si>
    <t>Noncurrent Assets</t>
  </si>
  <si>
    <t>Total Current Assets</t>
  </si>
  <si>
    <t>PPE</t>
  </si>
  <si>
    <t>Intagible Assets</t>
  </si>
  <si>
    <t>Total Assets</t>
  </si>
  <si>
    <t>Total Noncurrent Assets</t>
  </si>
  <si>
    <t>Liabilities and Equity</t>
  </si>
  <si>
    <t>Liabilities</t>
  </si>
  <si>
    <t>Current Liabilities</t>
  </si>
  <si>
    <t>Accounts and Debts Payable</t>
  </si>
  <si>
    <t>Total Current Liablilities</t>
  </si>
  <si>
    <t>Noncurrent Liablities</t>
  </si>
  <si>
    <t>Total Noncurrent Liablities</t>
  </si>
  <si>
    <t>Total Liablilites</t>
  </si>
  <si>
    <t>Stockholders Equity</t>
  </si>
  <si>
    <t>Common Stock</t>
  </si>
  <si>
    <t>Retained Earnings</t>
  </si>
  <si>
    <t>Commitments and Contingencies</t>
  </si>
  <si>
    <t>Total Stockholders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</si>
</sst>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EUR]\ * #,##0.00_);_([$EUR]\ * \(#,##0.00\);_([$EUR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9412-9BB8-4FCF-8B7C-54D3899D2BCF}">
  <dimension ref="B4:R71"/>
  <sheetViews>
    <sheetView tabSelected="1" workbookViewId="0">
      <selection activeCell="L32" sqref="L32"/>
    </sheetView>
  </sheetViews>
  <sheetFormatPr defaultRowHeight="15" x14ac:dyDescent="0.25"/>
  <cols>
    <col min="10" max="10" width="9.7109375" bestFit="1" customWidth="1"/>
    <col min="11" max="15" width="17.7109375" customWidth="1"/>
  </cols>
  <sheetData>
    <row r="4" spans="2:17" x14ac:dyDescent="0.25">
      <c r="B4" s="1" t="s">
        <v>0</v>
      </c>
      <c r="K4" s="2">
        <v>44196</v>
      </c>
      <c r="L4" s="2">
        <v>43830</v>
      </c>
      <c r="M4" s="2">
        <v>43465</v>
      </c>
      <c r="N4" s="2">
        <v>43100</v>
      </c>
      <c r="O4" s="2">
        <v>42735</v>
      </c>
    </row>
    <row r="5" spans="2:17" x14ac:dyDescent="0.25">
      <c r="B5" s="1" t="s">
        <v>1</v>
      </c>
      <c r="C5" s="1"/>
      <c r="D5" s="1"/>
      <c r="E5" s="1"/>
      <c r="F5" s="1"/>
      <c r="G5" s="1"/>
      <c r="H5" s="1"/>
      <c r="I5" s="1"/>
      <c r="J5" s="1"/>
      <c r="K5" s="4">
        <f>SUM(K6:K7)</f>
        <v>4371</v>
      </c>
      <c r="L5" s="4">
        <f t="shared" ref="L5" si="0">SUM(L6:L7)</f>
        <v>5542</v>
      </c>
      <c r="M5" s="4">
        <f t="shared" ref="M5" si="1">SUM(M6:M7)</f>
        <v>4325</v>
      </c>
      <c r="N5" s="4">
        <f t="shared" ref="N5" si="2">SUM(N6:N7)</f>
        <v>4864</v>
      </c>
      <c r="O5" s="4">
        <f t="shared" ref="O5" si="3">SUM(O6:O7)</f>
        <v>7482</v>
      </c>
    </row>
    <row r="6" spans="2:17" x14ac:dyDescent="0.25">
      <c r="B6" t="s">
        <v>4</v>
      </c>
      <c r="K6" s="3">
        <v>1</v>
      </c>
      <c r="L6" s="3">
        <v>1</v>
      </c>
      <c r="M6" s="3">
        <v>59</v>
      </c>
      <c r="N6" s="3">
        <v>119</v>
      </c>
      <c r="O6" s="3">
        <v>0</v>
      </c>
    </row>
    <row r="7" spans="2:17" x14ac:dyDescent="0.25">
      <c r="B7" t="s">
        <v>5</v>
      </c>
      <c r="K7" s="3">
        <v>4370</v>
      </c>
      <c r="L7" s="3">
        <v>5541</v>
      </c>
      <c r="M7" s="3">
        <v>4266</v>
      </c>
      <c r="N7" s="3">
        <v>4745</v>
      </c>
      <c r="O7" s="3">
        <v>7482</v>
      </c>
    </row>
    <row r="8" spans="2:17" x14ac:dyDescent="0.25">
      <c r="B8" s="1" t="s">
        <v>2</v>
      </c>
      <c r="C8" s="1"/>
      <c r="D8" s="1"/>
      <c r="E8" s="1"/>
      <c r="F8" s="1"/>
      <c r="G8" s="1"/>
      <c r="H8" s="1"/>
      <c r="I8" s="1"/>
      <c r="J8" s="1"/>
      <c r="K8" s="4">
        <f>SUM(K9:K11)</f>
        <v>271966.5</v>
      </c>
      <c r="L8" s="4">
        <f t="shared" ref="L8" si="4">SUM(L9:L11)</f>
        <v>256828.12</v>
      </c>
      <c r="M8" s="4">
        <f t="shared" ref="M8" si="5">SUM(M9:M11)</f>
        <v>315508.65000000002</v>
      </c>
      <c r="N8" s="4">
        <f t="shared" ref="N8" si="6">SUM(N9:N11)</f>
        <v>181907.96</v>
      </c>
      <c r="O8" s="4">
        <f t="shared" ref="O8" si="7">SUM(O9:O11)</f>
        <v>167185.56</v>
      </c>
    </row>
    <row r="9" spans="2:17" x14ac:dyDescent="0.25">
      <c r="B9" t="s">
        <v>6</v>
      </c>
      <c r="K9" s="3">
        <v>4798.1000000000004</v>
      </c>
      <c r="L9" s="3">
        <v>17722.43</v>
      </c>
      <c r="M9" s="3">
        <v>12758.03</v>
      </c>
      <c r="N9" s="3">
        <v>4145</v>
      </c>
      <c r="O9" s="3">
        <v>12915.5</v>
      </c>
    </row>
    <row r="10" spans="2:17" x14ac:dyDescent="0.25">
      <c r="B10" t="s">
        <v>7</v>
      </c>
      <c r="K10" s="3">
        <v>58885.97</v>
      </c>
      <c r="L10" s="3">
        <v>83722.11</v>
      </c>
      <c r="M10" s="3">
        <v>87814.63</v>
      </c>
      <c r="N10" s="3">
        <v>59145.120000000003</v>
      </c>
      <c r="O10" s="3">
        <v>104496.14</v>
      </c>
    </row>
    <row r="11" spans="2:17" x14ac:dyDescent="0.25">
      <c r="B11" t="s">
        <v>8</v>
      </c>
      <c r="K11" s="3">
        <v>208282.43</v>
      </c>
      <c r="L11" s="3">
        <v>155383.57999999999</v>
      </c>
      <c r="M11" s="3">
        <v>214935.99</v>
      </c>
      <c r="N11" s="3">
        <v>118617.84</v>
      </c>
      <c r="O11" s="3">
        <v>49773.919999999998</v>
      </c>
    </row>
    <row r="12" spans="2:17" x14ac:dyDescent="0.25"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4">
        <v>2066.67</v>
      </c>
      <c r="L12" s="4">
        <v>1400</v>
      </c>
      <c r="M12" s="4">
        <v>5164.32</v>
      </c>
      <c r="N12" s="4">
        <v>1569.97</v>
      </c>
      <c r="O12" s="4">
        <v>991.77</v>
      </c>
    </row>
    <row r="13" spans="2:17" x14ac:dyDescent="0.25">
      <c r="B13" s="1" t="s">
        <v>9</v>
      </c>
      <c r="C13" s="1"/>
      <c r="D13" s="1"/>
      <c r="E13" s="1"/>
      <c r="F13" s="1"/>
      <c r="G13" s="1"/>
      <c r="H13" s="1"/>
      <c r="I13" s="1"/>
      <c r="J13" s="1"/>
      <c r="K13" s="4">
        <f>K12+K8+K5</f>
        <v>278404.17</v>
      </c>
      <c r="L13" s="4">
        <f t="shared" ref="L13" si="8">L12+L8+L5</f>
        <v>263770.12</v>
      </c>
      <c r="M13" s="4">
        <f t="shared" ref="M13" si="9">M12+M8+M5</f>
        <v>324997.97000000003</v>
      </c>
      <c r="N13" s="4">
        <f t="shared" ref="N13" si="10">N12+N8+N5</f>
        <v>188341.93</v>
      </c>
      <c r="O13" s="4">
        <f t="shared" ref="O13" si="11">O12+O8+O5</f>
        <v>175659.33</v>
      </c>
    </row>
    <row r="14" spans="2:17" x14ac:dyDescent="0.25">
      <c r="K14" s="3"/>
    </row>
    <row r="15" spans="2:17" x14ac:dyDescent="0.25">
      <c r="B15" s="1" t="s">
        <v>10</v>
      </c>
      <c r="C15" s="1"/>
      <c r="D15" s="1"/>
      <c r="E15" s="1"/>
      <c r="F15" s="1"/>
      <c r="G15" s="1"/>
      <c r="H15" s="1"/>
      <c r="I15" s="1"/>
      <c r="J15" s="1"/>
      <c r="K15" s="4">
        <f>SUM(K16:K18)</f>
        <v>147948.63</v>
      </c>
      <c r="L15" s="4">
        <f t="shared" ref="L15" si="12">SUM(L16:L18)</f>
        <v>71287.62999999999</v>
      </c>
      <c r="M15" s="4">
        <f t="shared" ref="M15" si="13">SUM(M16:M18)</f>
        <v>147150.89000000001</v>
      </c>
      <c r="N15" s="4">
        <f t="shared" ref="N15" si="14">SUM(N16:N18)</f>
        <v>46811.199999999997</v>
      </c>
      <c r="O15" s="4">
        <f t="shared" ref="O15" si="15">SUM(O16:O18)</f>
        <v>42515.229999999996</v>
      </c>
    </row>
    <row r="16" spans="2:17" x14ac:dyDescent="0.25">
      <c r="B16" t="s">
        <v>11</v>
      </c>
      <c r="K16" s="3">
        <v>25000</v>
      </c>
      <c r="L16" s="3">
        <v>25000</v>
      </c>
      <c r="M16" s="3">
        <v>25000</v>
      </c>
      <c r="N16" s="3">
        <v>25000</v>
      </c>
      <c r="O16" s="3">
        <v>25000</v>
      </c>
      <c r="P16" s="3"/>
      <c r="Q16" s="3"/>
    </row>
    <row r="17" spans="2:18" x14ac:dyDescent="0.25">
      <c r="B17" t="s">
        <v>12</v>
      </c>
      <c r="K17" s="3">
        <v>46287.63</v>
      </c>
      <c r="L17" s="3">
        <v>71981.509999999995</v>
      </c>
      <c r="M17" s="3">
        <v>21811.200000000001</v>
      </c>
      <c r="N17" s="3">
        <v>17515.23</v>
      </c>
      <c r="O17" s="3">
        <v>0</v>
      </c>
      <c r="P17" s="3"/>
      <c r="Q17" s="3"/>
    </row>
    <row r="18" spans="2:18" x14ac:dyDescent="0.25">
      <c r="B18" t="s">
        <v>13</v>
      </c>
      <c r="K18" s="3">
        <v>76661</v>
      </c>
      <c r="L18" s="3">
        <v>-25693.88</v>
      </c>
      <c r="M18" s="3">
        <v>100339.69</v>
      </c>
      <c r="N18" s="3">
        <v>4295.97</v>
      </c>
      <c r="O18" s="3">
        <v>17515.23</v>
      </c>
      <c r="P18" s="3"/>
      <c r="Q18" s="3"/>
    </row>
    <row r="19" spans="2:18" x14ac:dyDescent="0.25">
      <c r="B19" s="1" t="s">
        <v>14</v>
      </c>
      <c r="C19" s="1"/>
      <c r="D19" s="1"/>
      <c r="E19" s="1"/>
      <c r="F19" s="1"/>
      <c r="G19" s="1"/>
      <c r="H19" s="1"/>
      <c r="I19" s="1"/>
      <c r="J19" s="1"/>
      <c r="K19" s="4">
        <v>38071.589999999997</v>
      </c>
      <c r="L19" s="4">
        <v>71574.39</v>
      </c>
      <c r="M19" s="4">
        <v>51769.4</v>
      </c>
      <c r="N19" s="4">
        <v>42752.79</v>
      </c>
      <c r="O19" s="4">
        <v>38816.35</v>
      </c>
      <c r="P19" s="4"/>
      <c r="Q19" s="4"/>
      <c r="R19" s="4"/>
    </row>
    <row r="20" spans="2:18" x14ac:dyDescent="0.25">
      <c r="B20" s="1" t="s">
        <v>15</v>
      </c>
      <c r="C20" s="1"/>
      <c r="D20" s="1"/>
      <c r="E20" s="1"/>
      <c r="F20" s="1"/>
      <c r="G20" s="1"/>
      <c r="H20" s="1"/>
      <c r="I20" s="1"/>
      <c r="J20" s="1"/>
      <c r="K20" s="4">
        <f>SUM(K21:K22)</f>
        <v>92383.95</v>
      </c>
      <c r="L20" s="4">
        <f t="shared" ref="L20" si="16">SUM(L21:L22)</f>
        <v>120908.1</v>
      </c>
      <c r="M20" s="4">
        <f t="shared" ref="M20" si="17">SUM(M21:M22)</f>
        <v>126077.68</v>
      </c>
      <c r="N20" s="4">
        <f t="shared" ref="N20" si="18">SUM(N21:N22)</f>
        <v>98777.94</v>
      </c>
      <c r="O20" s="4">
        <f t="shared" ref="O20" si="19">SUM(O21:O22)</f>
        <v>94327.75</v>
      </c>
      <c r="P20" s="4"/>
      <c r="Q20" s="4"/>
      <c r="R20" s="4"/>
    </row>
    <row r="21" spans="2:18" x14ac:dyDescent="0.25">
      <c r="B21" t="s">
        <v>17</v>
      </c>
      <c r="K21" s="3">
        <v>69804.539999999994</v>
      </c>
      <c r="L21" s="3">
        <v>95819.31</v>
      </c>
      <c r="M21" s="3">
        <v>100988.89</v>
      </c>
      <c r="N21" s="3">
        <v>73439.149999999994</v>
      </c>
      <c r="O21" s="3">
        <v>69238.960000000006</v>
      </c>
      <c r="P21" s="3"/>
      <c r="Q21" s="3"/>
    </row>
    <row r="22" spans="2:18" x14ac:dyDescent="0.25">
      <c r="B22" t="s">
        <v>16</v>
      </c>
      <c r="K22" s="3">
        <v>22579.41</v>
      </c>
      <c r="L22" s="3">
        <v>25088.79</v>
      </c>
      <c r="M22" s="3">
        <v>25088.79</v>
      </c>
      <c r="N22" s="3">
        <v>25338.79</v>
      </c>
      <c r="O22" s="3">
        <v>25088.79</v>
      </c>
      <c r="P22" s="3"/>
      <c r="Q22" s="3"/>
    </row>
    <row r="23" spans="2:18" x14ac:dyDescent="0.25">
      <c r="B23" s="1" t="s">
        <v>9</v>
      </c>
      <c r="C23" s="1"/>
      <c r="D23" s="1"/>
      <c r="E23" s="1"/>
      <c r="F23" s="1"/>
      <c r="G23" s="1"/>
      <c r="H23" s="1"/>
      <c r="I23" s="1"/>
      <c r="J23" s="1"/>
      <c r="K23" s="4">
        <f>K20+K19+K15</f>
        <v>278404.17</v>
      </c>
      <c r="L23" s="4">
        <f t="shared" ref="L23:O23" si="20">L20+L19+L15</f>
        <v>263770.12</v>
      </c>
      <c r="M23" s="4">
        <f t="shared" si="20"/>
        <v>324997.96999999997</v>
      </c>
      <c r="N23" s="4">
        <f t="shared" si="20"/>
        <v>188341.93</v>
      </c>
      <c r="O23" s="4">
        <f t="shared" si="20"/>
        <v>175659.33000000002</v>
      </c>
    </row>
    <row r="25" spans="2:18" x14ac:dyDescent="0.25">
      <c r="B25" t="s">
        <v>18</v>
      </c>
      <c r="K25" s="3">
        <f>K23-K13</f>
        <v>0</v>
      </c>
      <c r="L25" s="3">
        <f t="shared" ref="L25:O25" si="21">L23-L13</f>
        <v>0</v>
      </c>
      <c r="M25" s="3">
        <f t="shared" si="21"/>
        <v>0</v>
      </c>
      <c r="N25" s="3">
        <f t="shared" si="21"/>
        <v>0</v>
      </c>
      <c r="O25" s="3">
        <f t="shared" si="21"/>
        <v>0</v>
      </c>
    </row>
    <row r="27" spans="2:18" x14ac:dyDescent="0.25">
      <c r="B27">
        <v>2020</v>
      </c>
      <c r="C27" t="s">
        <v>19</v>
      </c>
    </row>
    <row r="28" spans="2:18" x14ac:dyDescent="0.25">
      <c r="C28" t="s">
        <v>20</v>
      </c>
    </row>
    <row r="30" spans="2:18" x14ac:dyDescent="0.25">
      <c r="B30">
        <v>2018</v>
      </c>
      <c r="C30" t="s">
        <v>21</v>
      </c>
    </row>
    <row r="32" spans="2:18" x14ac:dyDescent="0.25">
      <c r="B32">
        <v>2017</v>
      </c>
      <c r="C32" t="s">
        <v>22</v>
      </c>
    </row>
    <row r="34" spans="2:15" x14ac:dyDescent="0.25">
      <c r="B34" t="s">
        <v>23</v>
      </c>
      <c r="K34" s="3">
        <f>K18</f>
        <v>76661</v>
      </c>
      <c r="L34" s="3">
        <f t="shared" ref="L34:O34" si="22">L18</f>
        <v>-25693.88</v>
      </c>
      <c r="M34" s="3">
        <f t="shared" si="22"/>
        <v>100339.69</v>
      </c>
      <c r="N34" s="3">
        <f t="shared" si="22"/>
        <v>4295.97</v>
      </c>
      <c r="O34" s="3">
        <f t="shared" si="22"/>
        <v>17515.23</v>
      </c>
    </row>
    <row r="40" spans="2:15" x14ac:dyDescent="0.25">
      <c r="B40" t="s">
        <v>31</v>
      </c>
    </row>
    <row r="41" spans="2:15" x14ac:dyDescent="0.25">
      <c r="B41" t="s">
        <v>33</v>
      </c>
    </row>
    <row r="42" spans="2:15" x14ac:dyDescent="0.25">
      <c r="B42" s="6" t="s">
        <v>32</v>
      </c>
      <c r="K42" s="3">
        <f>K11</f>
        <v>208282.43</v>
      </c>
    </row>
    <row r="43" spans="2:15" x14ac:dyDescent="0.25">
      <c r="B43" s="6" t="s">
        <v>34</v>
      </c>
    </row>
    <row r="44" spans="2:15" x14ac:dyDescent="0.25">
      <c r="B44" s="6" t="s">
        <v>35</v>
      </c>
    </row>
    <row r="45" spans="2:15" x14ac:dyDescent="0.25">
      <c r="B45" s="6" t="s">
        <v>37</v>
      </c>
    </row>
    <row r="47" spans="2:15" x14ac:dyDescent="0.25">
      <c r="B47" t="s">
        <v>36</v>
      </c>
    </row>
    <row r="48" spans="2:15" x14ac:dyDescent="0.25">
      <c r="B48" s="6" t="s">
        <v>38</v>
      </c>
    </row>
    <row r="49" spans="2:2" x14ac:dyDescent="0.25">
      <c r="B49" s="6" t="s">
        <v>39</v>
      </c>
    </row>
    <row r="50" spans="2:2" x14ac:dyDescent="0.25">
      <c r="B50" s="6" t="s">
        <v>41</v>
      </c>
    </row>
    <row r="52" spans="2:2" x14ac:dyDescent="0.25">
      <c r="B52" s="7" t="s">
        <v>40</v>
      </c>
    </row>
    <row r="54" spans="2:2" x14ac:dyDescent="0.25">
      <c r="B54" s="7" t="s">
        <v>42</v>
      </c>
    </row>
    <row r="55" spans="2:2" x14ac:dyDescent="0.25">
      <c r="B55" t="s">
        <v>43</v>
      </c>
    </row>
    <row r="56" spans="2:2" x14ac:dyDescent="0.25">
      <c r="B56" s="7" t="s">
        <v>44</v>
      </c>
    </row>
    <row r="57" spans="2:2" x14ac:dyDescent="0.25">
      <c r="B57" s="6" t="s">
        <v>45</v>
      </c>
    </row>
    <row r="58" spans="2:2" x14ac:dyDescent="0.25">
      <c r="B58" s="7" t="s">
        <v>46</v>
      </c>
    </row>
    <row r="60" spans="2:2" x14ac:dyDescent="0.25">
      <c r="B60" s="7" t="s">
        <v>47</v>
      </c>
    </row>
    <row r="61" spans="2:2" x14ac:dyDescent="0.25">
      <c r="B61" s="6" t="s">
        <v>45</v>
      </c>
    </row>
    <row r="62" spans="2:2" x14ac:dyDescent="0.25">
      <c r="B62" s="7" t="s">
        <v>48</v>
      </c>
    </row>
    <row r="64" spans="2:2" x14ac:dyDescent="0.25">
      <c r="B64" s="7" t="s">
        <v>49</v>
      </c>
    </row>
    <row r="65" spans="2:2" x14ac:dyDescent="0.25">
      <c r="B65" s="7"/>
    </row>
    <row r="66" spans="2:2" x14ac:dyDescent="0.25">
      <c r="B66" s="7" t="s">
        <v>53</v>
      </c>
    </row>
    <row r="68" spans="2:2" x14ac:dyDescent="0.25">
      <c r="B68" s="7" t="s">
        <v>50</v>
      </c>
    </row>
    <row r="69" spans="2:2" x14ac:dyDescent="0.25">
      <c r="B69" s="6" t="s">
        <v>51</v>
      </c>
    </row>
    <row r="70" spans="2:2" x14ac:dyDescent="0.25">
      <c r="B70" s="6" t="s">
        <v>52</v>
      </c>
    </row>
    <row r="71" spans="2:2" x14ac:dyDescent="0.25">
      <c r="B71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DD20-CE32-4F6C-91B6-4D6A2A23FBA3}">
  <dimension ref="B2:P37"/>
  <sheetViews>
    <sheetView workbookViewId="0">
      <selection activeCell="W31" sqref="W31"/>
    </sheetView>
  </sheetViews>
  <sheetFormatPr defaultRowHeight="15" x14ac:dyDescent="0.25"/>
  <cols>
    <col min="11" max="16" width="17.7109375" customWidth="1"/>
  </cols>
  <sheetData>
    <row r="2" spans="2:16" x14ac:dyDescent="0.25">
      <c r="B2" s="1" t="s">
        <v>0</v>
      </c>
      <c r="K2" s="2">
        <v>44561</v>
      </c>
      <c r="L2" s="2">
        <v>44196</v>
      </c>
      <c r="M2" s="2">
        <v>43830</v>
      </c>
      <c r="N2" s="2">
        <v>43465</v>
      </c>
      <c r="O2" s="2">
        <v>43100</v>
      </c>
      <c r="P2" s="2">
        <v>42735</v>
      </c>
    </row>
    <row r="3" spans="2:16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4">
        <f>SUM(K4:K6)</f>
        <v>232586.83000000002</v>
      </c>
      <c r="L3" s="4">
        <f t="shared" ref="L3:P3" si="0">SUM(L4:L6)</f>
        <v>159623.83000000002</v>
      </c>
      <c r="M3" s="4">
        <f t="shared" si="0"/>
        <v>115544</v>
      </c>
      <c r="N3" s="4">
        <f t="shared" si="0"/>
        <v>119844</v>
      </c>
      <c r="O3" s="4">
        <f t="shared" si="0"/>
        <v>166074</v>
      </c>
      <c r="P3" s="4">
        <f t="shared" si="0"/>
        <v>170479</v>
      </c>
    </row>
    <row r="4" spans="2:16" x14ac:dyDescent="0.25">
      <c r="B4" t="s">
        <v>4</v>
      </c>
      <c r="K4" s="3">
        <v>80417</v>
      </c>
      <c r="L4" s="3">
        <v>62337</v>
      </c>
      <c r="M4" s="3">
        <v>3665</v>
      </c>
      <c r="N4" s="3">
        <v>2264</v>
      </c>
      <c r="O4" s="3">
        <v>4625</v>
      </c>
      <c r="P4" s="3">
        <v>1739</v>
      </c>
    </row>
    <row r="5" spans="2:16" x14ac:dyDescent="0.25">
      <c r="B5" t="s">
        <v>5</v>
      </c>
      <c r="K5" s="3">
        <v>119375</v>
      </c>
      <c r="L5" s="3">
        <v>64492</v>
      </c>
      <c r="M5" s="3">
        <v>85614</v>
      </c>
      <c r="N5" s="3">
        <v>91315</v>
      </c>
      <c r="O5" s="3">
        <v>135184</v>
      </c>
      <c r="P5" s="3">
        <v>142475</v>
      </c>
    </row>
    <row r="6" spans="2:16" x14ac:dyDescent="0.25">
      <c r="B6" t="s">
        <v>24</v>
      </c>
      <c r="K6" s="3">
        <v>32794.83</v>
      </c>
      <c r="L6" s="3">
        <v>32794.83</v>
      </c>
      <c r="M6" s="3">
        <v>26265</v>
      </c>
      <c r="N6" s="3">
        <v>26265</v>
      </c>
      <c r="O6" s="3">
        <v>26265</v>
      </c>
      <c r="P6" s="3">
        <v>26265</v>
      </c>
    </row>
    <row r="7" spans="2:16" x14ac:dyDescent="0.25">
      <c r="B7" s="1" t="s">
        <v>2</v>
      </c>
      <c r="C7" s="1"/>
      <c r="D7" s="1"/>
      <c r="E7" s="1"/>
      <c r="F7" s="1"/>
      <c r="G7" s="1"/>
      <c r="H7" s="1"/>
      <c r="I7" s="1"/>
      <c r="J7" s="1"/>
      <c r="K7" s="4">
        <f>+K8+K9+K11+K12</f>
        <v>2912894.2</v>
      </c>
      <c r="L7" s="4">
        <f t="shared" ref="L7:O7" si="1">+L8+L9+L11+L12</f>
        <v>2564231.96</v>
      </c>
      <c r="M7" s="4">
        <f t="shared" si="1"/>
        <v>2795576.67</v>
      </c>
      <c r="N7" s="4">
        <f t="shared" si="1"/>
        <v>2238337.1799999997</v>
      </c>
      <c r="O7" s="4">
        <f t="shared" si="1"/>
        <v>2125681.0499999998</v>
      </c>
      <c r="P7" s="4">
        <f>+P8+P9+P11+P12</f>
        <v>2353394.16</v>
      </c>
    </row>
    <row r="8" spans="2:16" x14ac:dyDescent="0.25">
      <c r="B8" t="s">
        <v>6</v>
      </c>
      <c r="K8" s="3">
        <v>225454.81</v>
      </c>
      <c r="L8" s="3">
        <v>189494.31</v>
      </c>
      <c r="M8" s="3">
        <v>46622.36</v>
      </c>
      <c r="N8" s="3">
        <v>45944.45</v>
      </c>
      <c r="O8" s="3">
        <v>27998.720000000001</v>
      </c>
      <c r="P8" s="3">
        <v>24417.96</v>
      </c>
    </row>
    <row r="9" spans="2:16" x14ac:dyDescent="0.25">
      <c r="B9" t="s">
        <v>7</v>
      </c>
      <c r="K9" s="3">
        <v>1544263.66</v>
      </c>
      <c r="L9" s="3">
        <v>1137371.48</v>
      </c>
      <c r="M9" s="3">
        <v>1307892.1499999999</v>
      </c>
      <c r="N9" s="3">
        <v>1112725.6599999999</v>
      </c>
      <c r="O9" s="3">
        <v>976050.07</v>
      </c>
      <c r="P9" s="3">
        <v>858104.83</v>
      </c>
    </row>
    <row r="10" spans="2:16" x14ac:dyDescent="0.25">
      <c r="B10" s="6" t="s">
        <v>16</v>
      </c>
      <c r="K10" s="5">
        <v>16567.55</v>
      </c>
      <c r="L10" s="5">
        <v>17360</v>
      </c>
      <c r="M10" s="3">
        <v>13694.4</v>
      </c>
      <c r="N10" s="3">
        <v>77540.25</v>
      </c>
      <c r="O10" s="3">
        <v>77497.75</v>
      </c>
      <c r="P10" s="3">
        <v>13306.15</v>
      </c>
    </row>
    <row r="11" spans="2:16" x14ac:dyDescent="0.25">
      <c r="B11" t="s">
        <v>25</v>
      </c>
      <c r="K11" s="3">
        <v>499529.42</v>
      </c>
      <c r="L11" s="3">
        <v>499529.42</v>
      </c>
      <c r="M11" s="3">
        <v>297747.87</v>
      </c>
      <c r="N11" s="3">
        <v>284978.53999999998</v>
      </c>
      <c r="O11" s="3">
        <v>0</v>
      </c>
      <c r="P11" s="3">
        <v>0</v>
      </c>
    </row>
    <row r="12" spans="2:16" x14ac:dyDescent="0.25">
      <c r="B12" t="s">
        <v>26</v>
      </c>
      <c r="K12" s="3">
        <v>643646.31000000006</v>
      </c>
      <c r="L12" s="3">
        <v>737836.75</v>
      </c>
      <c r="M12" s="3">
        <v>1143314.29</v>
      </c>
      <c r="N12" s="3">
        <v>794688.53</v>
      </c>
      <c r="O12" s="3">
        <v>1121632.26</v>
      </c>
      <c r="P12" s="3">
        <v>1470871.37</v>
      </c>
    </row>
    <row r="13" spans="2:16" x14ac:dyDescent="0.25"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4">
        <v>71171.710000000006</v>
      </c>
      <c r="L13" s="4">
        <v>64876.17</v>
      </c>
      <c r="M13" s="4">
        <v>86019.33</v>
      </c>
      <c r="N13" s="4">
        <v>79298.58</v>
      </c>
      <c r="O13" s="4">
        <v>67627.649999999994</v>
      </c>
      <c r="P13" s="4">
        <v>87086.68</v>
      </c>
    </row>
    <row r="14" spans="2:16" x14ac:dyDescent="0.25">
      <c r="B14" s="1" t="s">
        <v>9</v>
      </c>
      <c r="C14" s="1"/>
      <c r="D14" s="1"/>
      <c r="E14" s="1"/>
      <c r="F14" s="1"/>
      <c r="G14" s="1"/>
      <c r="H14" s="1"/>
      <c r="I14" s="1"/>
      <c r="J14" s="1"/>
      <c r="K14" s="4">
        <f>+K13+K7+K3</f>
        <v>3216652.74</v>
      </c>
      <c r="L14" s="4">
        <f t="shared" ref="L14:P14" si="2">+L13+L7+L3</f>
        <v>2788731.96</v>
      </c>
      <c r="M14" s="4">
        <f t="shared" si="2"/>
        <v>2997140</v>
      </c>
      <c r="N14" s="4">
        <f t="shared" si="2"/>
        <v>2437479.7599999998</v>
      </c>
      <c r="O14" s="4">
        <f t="shared" si="2"/>
        <v>2359382.6999999997</v>
      </c>
      <c r="P14" s="4">
        <f t="shared" si="2"/>
        <v>2610959.8400000003</v>
      </c>
    </row>
    <row r="15" spans="2:16" x14ac:dyDescent="0.25">
      <c r="L15" s="3"/>
    </row>
    <row r="16" spans="2:16" x14ac:dyDescent="0.25">
      <c r="B16" s="1" t="s">
        <v>10</v>
      </c>
      <c r="C16" s="1"/>
      <c r="D16" s="1"/>
      <c r="E16" s="1"/>
      <c r="F16" s="1"/>
      <c r="G16" s="1"/>
      <c r="H16" s="1"/>
      <c r="I16" s="1"/>
      <c r="J16" s="1"/>
      <c r="K16" s="4">
        <f>SUM(K17:K20)</f>
        <v>1308799.3600000001</v>
      </c>
      <c r="L16" s="4">
        <f t="shared" ref="L16:P16" si="3">SUM(L17:L20)</f>
        <v>1323075.27</v>
      </c>
      <c r="M16" s="4">
        <f t="shared" si="3"/>
        <v>2125696.42</v>
      </c>
      <c r="N16" s="4">
        <f t="shared" si="3"/>
        <v>1829552.8200000003</v>
      </c>
      <c r="O16" s="4">
        <f t="shared" si="3"/>
        <v>1873611.0199999998</v>
      </c>
      <c r="P16" s="4">
        <f t="shared" si="3"/>
        <v>1770408.44</v>
      </c>
    </row>
    <row r="17" spans="2:16" x14ac:dyDescent="0.25">
      <c r="B17" t="s">
        <v>11</v>
      </c>
      <c r="K17" s="3">
        <v>25015</v>
      </c>
      <c r="L17" s="3">
        <v>25015</v>
      </c>
      <c r="M17" s="3">
        <v>25015</v>
      </c>
      <c r="N17" s="3">
        <v>25015</v>
      </c>
      <c r="O17" s="3">
        <v>25015</v>
      </c>
      <c r="P17" s="3">
        <v>25015</v>
      </c>
    </row>
    <row r="18" spans="2:16" x14ac:dyDescent="0.25">
      <c r="B18" t="s">
        <v>29</v>
      </c>
      <c r="K18" s="3">
        <v>224680.63</v>
      </c>
      <c r="L18" s="3">
        <v>224680.63</v>
      </c>
      <c r="M18" s="3">
        <v>224680.63</v>
      </c>
      <c r="N18" s="3">
        <v>224680.63</v>
      </c>
      <c r="O18" s="3">
        <v>197581.43</v>
      </c>
      <c r="P18" s="3">
        <v>180282.49</v>
      </c>
    </row>
    <row r="19" spans="2:16" x14ac:dyDescent="0.25">
      <c r="B19" t="s">
        <v>27</v>
      </c>
      <c r="K19" s="3">
        <v>352859.17</v>
      </c>
      <c r="L19" s="3">
        <v>206657.29</v>
      </c>
      <c r="M19" s="3">
        <v>1351015.25</v>
      </c>
      <c r="N19" s="3">
        <v>1351014.59</v>
      </c>
      <c r="O19" s="3">
        <v>1565110.95</v>
      </c>
      <c r="P19" s="3">
        <v>1253209.1399999999</v>
      </c>
    </row>
    <row r="20" spans="2:16" x14ac:dyDescent="0.25">
      <c r="B20" t="s">
        <v>28</v>
      </c>
      <c r="K20" s="3">
        <v>706244.56</v>
      </c>
      <c r="L20" s="3">
        <v>866722.35</v>
      </c>
      <c r="M20" s="3">
        <v>524985.54</v>
      </c>
      <c r="N20" s="3">
        <v>228842.6</v>
      </c>
      <c r="O20" s="3">
        <v>85903.64</v>
      </c>
      <c r="P20" s="3">
        <v>311901.81</v>
      </c>
    </row>
    <row r="21" spans="2:16" x14ac:dyDescent="0.25">
      <c r="B21" s="1" t="s">
        <v>14</v>
      </c>
      <c r="C21" s="1"/>
      <c r="D21" s="1"/>
      <c r="E21" s="1"/>
      <c r="F21" s="1"/>
      <c r="G21" s="1"/>
      <c r="H21" s="1"/>
      <c r="I21" s="1"/>
      <c r="J21" s="1"/>
      <c r="K21" s="4">
        <v>858362.24</v>
      </c>
      <c r="L21" s="4">
        <v>960465.53</v>
      </c>
      <c r="M21" s="4">
        <v>456047.74</v>
      </c>
      <c r="N21" s="4">
        <v>210962.84</v>
      </c>
      <c r="O21" s="4">
        <v>230344.39</v>
      </c>
      <c r="P21" s="4">
        <v>528504.18999999994</v>
      </c>
    </row>
    <row r="22" spans="2:16" x14ac:dyDescent="0.25">
      <c r="B22" s="1" t="s">
        <v>15</v>
      </c>
      <c r="C22" s="1"/>
      <c r="D22" s="1"/>
      <c r="E22" s="1"/>
      <c r="F22" s="1"/>
      <c r="G22" s="1"/>
      <c r="H22" s="1"/>
      <c r="I22" s="1"/>
      <c r="J22" s="1"/>
      <c r="K22" s="4">
        <f>SUM(K23:K24)</f>
        <v>1049491.1399999999</v>
      </c>
      <c r="L22" s="4">
        <f t="shared" ref="L22:P22" si="4">SUM(L23:L24)</f>
        <v>501997.45</v>
      </c>
      <c r="M22" s="4">
        <f t="shared" si="4"/>
        <v>413950.56</v>
      </c>
      <c r="N22" s="4">
        <f t="shared" si="4"/>
        <v>396785.38</v>
      </c>
      <c r="O22" s="4">
        <f t="shared" si="4"/>
        <v>253721.71000000002</v>
      </c>
      <c r="P22" s="4">
        <f t="shared" si="4"/>
        <v>307861.13</v>
      </c>
    </row>
    <row r="23" spans="2:16" x14ac:dyDescent="0.25">
      <c r="B23" t="s">
        <v>17</v>
      </c>
      <c r="K23" s="3">
        <v>1049491.1399999999</v>
      </c>
      <c r="L23" s="3">
        <v>501997.45</v>
      </c>
      <c r="M23" s="3">
        <v>413950.56</v>
      </c>
      <c r="N23" s="3">
        <v>308381.53000000003</v>
      </c>
      <c r="O23" s="3">
        <v>185466.69</v>
      </c>
      <c r="P23" s="3">
        <v>249207.2</v>
      </c>
    </row>
    <row r="24" spans="2:16" x14ac:dyDescent="0.25">
      <c r="B24" t="s">
        <v>16</v>
      </c>
      <c r="K24" s="3">
        <v>0</v>
      </c>
      <c r="L24" s="3">
        <v>0</v>
      </c>
      <c r="M24" s="3">
        <v>0</v>
      </c>
      <c r="N24" s="3">
        <v>88403.85</v>
      </c>
      <c r="O24" s="3">
        <v>68255.02</v>
      </c>
      <c r="P24" s="3">
        <v>58653.93</v>
      </c>
    </row>
    <row r="25" spans="2:16" x14ac:dyDescent="0.25">
      <c r="B25" s="1" t="s">
        <v>30</v>
      </c>
      <c r="K25" s="4">
        <v>0</v>
      </c>
      <c r="L25" s="4">
        <v>3193.71</v>
      </c>
      <c r="M25" s="4">
        <v>1445.28</v>
      </c>
      <c r="N25" s="4">
        <v>178.72</v>
      </c>
      <c r="O25" s="4">
        <v>1705.58</v>
      </c>
      <c r="P25" s="4">
        <v>4186.08</v>
      </c>
    </row>
    <row r="26" spans="2:16" x14ac:dyDescent="0.25">
      <c r="B26" s="1" t="s">
        <v>9</v>
      </c>
      <c r="C26" s="1"/>
      <c r="D26" s="1"/>
      <c r="E26" s="1"/>
      <c r="F26" s="1"/>
      <c r="G26" s="1"/>
      <c r="H26" s="1"/>
      <c r="I26" s="1"/>
      <c r="J26" s="1"/>
      <c r="K26" s="4">
        <f>K25+K22+K21+K16</f>
        <v>3216652.74</v>
      </c>
      <c r="L26" s="4">
        <f t="shared" ref="L26:P26" si="5">L25+L22+L21+L16</f>
        <v>2788731.96</v>
      </c>
      <c r="M26" s="4">
        <f t="shared" si="5"/>
        <v>2997140</v>
      </c>
      <c r="N26" s="4">
        <f t="shared" si="5"/>
        <v>2437479.7600000002</v>
      </c>
      <c r="O26" s="4">
        <f t="shared" si="5"/>
        <v>2359382.6999999997</v>
      </c>
      <c r="P26" s="4">
        <f t="shared" si="5"/>
        <v>2610959.84</v>
      </c>
    </row>
    <row r="28" spans="2:16" x14ac:dyDescent="0.25">
      <c r="B28" t="s">
        <v>18</v>
      </c>
      <c r="K28" s="3">
        <f>K26-K14</f>
        <v>0</v>
      </c>
      <c r="L28" s="3">
        <f>L26-L14</f>
        <v>0</v>
      </c>
      <c r="M28" s="3">
        <f t="shared" ref="M28:P28" si="6">M26-M14</f>
        <v>0</v>
      </c>
      <c r="N28" s="3">
        <f t="shared" si="6"/>
        <v>0</v>
      </c>
      <c r="O28" s="3">
        <f t="shared" si="6"/>
        <v>0</v>
      </c>
      <c r="P28" s="3">
        <f t="shared" si="6"/>
        <v>0</v>
      </c>
    </row>
    <row r="37" spans="11:16" x14ac:dyDescent="0.25">
      <c r="K37" s="3">
        <f>K20</f>
        <v>706244.56</v>
      </c>
      <c r="L37" s="3">
        <f>L20</f>
        <v>866722.35</v>
      </c>
      <c r="M37" s="3">
        <f t="shared" ref="M37:P37" si="7">M20</f>
        <v>524985.54</v>
      </c>
      <c r="N37" s="3">
        <f t="shared" si="7"/>
        <v>228842.6</v>
      </c>
      <c r="O37" s="3">
        <f t="shared" si="7"/>
        <v>85903.64</v>
      </c>
      <c r="P37" s="3">
        <f t="shared" si="7"/>
        <v>311901.81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6D06-B6B7-4D7F-90BF-CD9857C20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Eureos Corporate Finance</vt:lpstr>
      <vt:lpstr>Eureos Steuer &amp; Rechtsanwalt</vt:lpstr>
      <vt:lpstr>Eureos Wirtschaftsprüfung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2024-03-03T13:07:01Z</dcterms:created>
  <dcterms:modified xsi:type="dcterms:W3CDTF">2024-03-05T11:00:26Z</dcterms:modified>
</cp:coreProperties>
</file>